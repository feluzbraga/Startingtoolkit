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ejamento Financeiro" sheetId="1" state="visible" r:id="rId1"/>
    <sheet xmlns:r="http://schemas.openxmlformats.org/officeDocument/2006/relationships" name="Como us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0.0%"/>
    <numFmt numFmtId="166" formatCode="0.0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8736E"/>
    </font>
    <font>
      <b val="1"/>
      <color rgb="00FFFFFF"/>
    </font>
    <font>
      <b val="1"/>
    </font>
    <font>
      <b val="1"/>
      <color rgb="00246B57"/>
    </font>
  </fonts>
  <fills count="5">
    <fill>
      <patternFill/>
    </fill>
    <fill>
      <patternFill patternType="gray125"/>
    </fill>
    <fill>
      <patternFill patternType="solid">
        <fgColor rgb="00246B57"/>
      </patternFill>
    </fill>
    <fill>
      <patternFill patternType="solid">
        <fgColor rgb="00C99A45"/>
      </patternFill>
    </fill>
    <fill>
      <patternFill patternType="solid">
        <fgColor rgb="001823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wrapText="1"/>
    </xf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1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4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21" customWidth="1" min="4" max="4"/>
    <col width="18" customWidth="1" min="5" max="5"/>
    <col width="20" customWidth="1" min="6" max="6"/>
    <col width="14" customWidth="1" min="7" max="7"/>
    <col width="18" customWidth="1" min="8" max="8"/>
  </cols>
  <sheetData>
    <row r="1">
      <c r="A1" s="1" t="inlineStr">
        <is>
          <t>COMEÇAR CERTO | PLANEJAMENTO FINANCEIRO</t>
        </is>
      </c>
    </row>
    <row r="2">
      <c r="A2" s="2" t="inlineStr">
        <is>
          <t>Preencha os campos de entrada. Os resultados são estimativas para planejamento e devem ser confirmados com dados reais.</t>
        </is>
      </c>
    </row>
    <row r="4">
      <c r="A4" s="3" t="inlineStr">
        <is>
          <t>CUSTOS FIXOS MENSAIS</t>
        </is>
      </c>
    </row>
    <row r="5">
      <c r="A5" t="inlineStr">
        <is>
          <t>Aluguel</t>
        </is>
      </c>
      <c r="B5" s="4" t="n">
        <v>0</v>
      </c>
    </row>
    <row r="6">
      <c r="A6" t="inlineStr">
        <is>
          <t>IPTU</t>
        </is>
      </c>
      <c r="B6" s="4" t="n">
        <v>0</v>
      </c>
    </row>
    <row r="7">
      <c r="A7" t="inlineStr">
        <is>
          <t>Condomínio</t>
        </is>
      </c>
      <c r="B7" s="4" t="n">
        <v>0</v>
      </c>
    </row>
    <row r="8">
      <c r="A8" t="inlineStr">
        <is>
          <t>Energia</t>
        </is>
      </c>
      <c r="B8" s="4" t="n">
        <v>0</v>
      </c>
    </row>
    <row r="9">
      <c r="A9" t="inlineStr">
        <is>
          <t>Água</t>
        </is>
      </c>
      <c r="B9" s="4" t="n">
        <v>0</v>
      </c>
    </row>
    <row r="10">
      <c r="A10" t="inlineStr">
        <is>
          <t>Internet / telefone</t>
        </is>
      </c>
      <c r="B10" s="4" t="n">
        <v>0</v>
      </c>
    </row>
    <row r="11">
      <c r="A11" t="inlineStr">
        <is>
          <t>Pessoal / salários</t>
        </is>
      </c>
      <c r="B11" s="4" t="n">
        <v>0</v>
      </c>
    </row>
    <row r="12">
      <c r="A12" t="inlineStr">
        <is>
          <t>Encargos e benefícios</t>
        </is>
      </c>
      <c r="B12" s="4" t="n">
        <v>0</v>
      </c>
    </row>
    <row r="13">
      <c r="A13" t="inlineStr">
        <is>
          <t>Pró-labore</t>
        </is>
      </c>
      <c r="B13" s="4" t="n">
        <v>0</v>
      </c>
    </row>
    <row r="14">
      <c r="A14" t="inlineStr">
        <is>
          <t>Contabilidade</t>
        </is>
      </c>
      <c r="B14" s="4" t="n">
        <v>0</v>
      </c>
    </row>
    <row r="15">
      <c r="A15" t="inlineStr">
        <is>
          <t>Sistemas / softwares</t>
        </is>
      </c>
      <c r="B15" s="4" t="n">
        <v>0</v>
      </c>
    </row>
    <row r="16">
      <c r="A16" t="inlineStr">
        <is>
          <t>Marketing recorrente</t>
        </is>
      </c>
      <c r="B16" s="4" t="n">
        <v>0</v>
      </c>
    </row>
    <row r="17">
      <c r="A17" t="inlineStr">
        <is>
          <t>Seguros</t>
        </is>
      </c>
      <c r="B17" s="4" t="n">
        <v>0</v>
      </c>
    </row>
    <row r="18">
      <c r="A18" t="inlineStr">
        <is>
          <t>Manutenção</t>
        </is>
      </c>
      <c r="B18" s="4" t="n">
        <v>0</v>
      </c>
    </row>
    <row r="19">
      <c r="A19" t="inlineStr">
        <is>
          <t>Outros</t>
        </is>
      </c>
      <c r="B19" s="4" t="n">
        <v>0</v>
      </c>
    </row>
    <row r="20">
      <c r="A20" s="5" t="inlineStr">
        <is>
          <t>TOTAL CUSTOS FIXOS</t>
        </is>
      </c>
      <c r="B20" s="4">
        <f>SUM(B5:B19)</f>
        <v/>
      </c>
    </row>
    <row r="23">
      <c r="A23" s="6" t="inlineStr">
        <is>
          <t>CUSTOS VARIÁVEIS POR VENDA</t>
        </is>
      </c>
    </row>
    <row r="24">
      <c r="A24" t="inlineStr">
        <is>
          <t>Produto / matéria-prima</t>
        </is>
      </c>
      <c r="B24" s="4" t="n">
        <v>0</v>
      </c>
    </row>
    <row r="25">
      <c r="A25" t="inlineStr">
        <is>
          <t>Embalagem</t>
        </is>
      </c>
      <c r="B25" s="4" t="n">
        <v>0</v>
      </c>
    </row>
    <row r="26">
      <c r="A26" t="inlineStr">
        <is>
          <t>Taxa de cartão</t>
        </is>
      </c>
      <c r="B26" s="4" t="n">
        <v>0</v>
      </c>
    </row>
    <row r="27">
      <c r="A27" t="inlineStr">
        <is>
          <t>Comissão</t>
        </is>
      </c>
      <c r="B27" s="4" t="n">
        <v>0</v>
      </c>
    </row>
    <row r="28">
      <c r="A28" t="inlineStr">
        <is>
          <t>Frete / entrega</t>
        </is>
      </c>
      <c r="B28" s="4" t="n">
        <v>0</v>
      </c>
    </row>
    <row r="29">
      <c r="A29" t="inlineStr">
        <is>
          <t>Impostos sobre venda</t>
        </is>
      </c>
      <c r="B29" s="4" t="n">
        <v>0</v>
      </c>
    </row>
    <row r="30">
      <c r="A30" t="inlineStr">
        <is>
          <t>Marketplace / plataforma</t>
        </is>
      </c>
      <c r="B30" s="4" t="n">
        <v>0</v>
      </c>
    </row>
    <row r="31">
      <c r="A31" t="inlineStr">
        <is>
          <t>Outros</t>
        </is>
      </c>
      <c r="B31" s="4" t="n">
        <v>0</v>
      </c>
    </row>
    <row r="32">
      <c r="A32" s="5" t="inlineStr">
        <is>
          <t>TOTAL VARIÁVEL POR VENDA</t>
        </is>
      </c>
      <c r="B32" s="4">
        <f>SUM(B24:B31)</f>
        <v/>
      </c>
    </row>
    <row r="35">
      <c r="A35" s="3" t="inlineStr">
        <is>
          <t>ENTRADAS E HIPÓTESES DE RECEITA</t>
        </is>
      </c>
    </row>
    <row r="36">
      <c r="A36" t="inlineStr">
        <is>
          <t>Investimento inicial</t>
        </is>
      </c>
      <c r="B36" s="4" t="n">
        <v>0</v>
      </c>
    </row>
    <row r="37">
      <c r="A37" t="inlineStr">
        <is>
          <t>Ticket médio</t>
        </is>
      </c>
      <c r="B37" s="4" t="n">
        <v>0</v>
      </c>
    </row>
    <row r="38">
      <c r="A38" t="inlineStr">
        <is>
          <t>Vendas / clientes por mês</t>
        </is>
      </c>
      <c r="B38" s="7" t="n">
        <v>0</v>
      </c>
    </row>
    <row r="39">
      <c r="A39" t="inlineStr">
        <is>
          <t>Crescimento mensal esperado (%)</t>
        </is>
      </c>
      <c r="B39" s="8" t="n">
        <v>0</v>
      </c>
    </row>
    <row r="42">
      <c r="A42" s="6" t="inlineStr">
        <is>
          <t>RESULTADOS DA SIMULAÇÃO</t>
        </is>
      </c>
    </row>
    <row r="43">
      <c r="A43" s="5" t="inlineStr">
        <is>
          <t>Receita mensal estimada</t>
        </is>
      </c>
      <c r="B43" s="4">
        <f>B37*B38</f>
        <v/>
      </c>
    </row>
    <row r="44">
      <c r="A44" s="5" t="inlineStr">
        <is>
          <t>Custos variáveis mensais estimados</t>
        </is>
      </c>
      <c r="B44" s="4">
        <f>B32*B38</f>
        <v/>
      </c>
    </row>
    <row r="45">
      <c r="A45" s="5" t="inlineStr">
        <is>
          <t>Custos fixos mensais</t>
        </is>
      </c>
      <c r="B45" s="4">
        <f>B20</f>
        <v/>
      </c>
    </row>
    <row r="46">
      <c r="A46" s="5" t="inlineStr">
        <is>
          <t>Lucro operacional estimado</t>
        </is>
      </c>
      <c r="B46" s="4">
        <f>B43-B44-B45</f>
        <v/>
      </c>
    </row>
    <row r="47">
      <c r="A47" s="5" t="inlineStr">
        <is>
          <t>Margem operacional estimada</t>
        </is>
      </c>
      <c r="B47" s="8">
        <f>IF(B43=0,0,B46/B43)</f>
        <v/>
      </c>
    </row>
    <row r="48">
      <c r="A48" s="5" t="inlineStr">
        <is>
          <t>Ponto de equilíbrio - vendas</t>
        </is>
      </c>
      <c r="B48" s="9">
        <f>IF(B37-B32&lt;=0,0,B20/(B37-B32))</f>
        <v/>
      </c>
    </row>
    <row r="49">
      <c r="A49" s="5" t="inlineStr">
        <is>
          <t>Ponto de equilíbrio - receita</t>
        </is>
      </c>
      <c r="B49" s="4">
        <f>IF(B37-B32&lt;=0,0,B49*B37)</f>
        <v/>
      </c>
    </row>
    <row r="52">
      <c r="A52" s="3" t="inlineStr">
        <is>
          <t>PROJEÇÃO DE 12 MESES</t>
        </is>
      </c>
    </row>
    <row r="53">
      <c r="A53" s="10" t="inlineStr">
        <is>
          <t>Mês</t>
        </is>
      </c>
      <c r="B53" s="10" t="inlineStr">
        <is>
          <t>Vendas</t>
        </is>
      </c>
      <c r="C53" s="10" t="inlineStr">
        <is>
          <t>Receita</t>
        </is>
      </c>
      <c r="D53" s="10" t="inlineStr">
        <is>
          <t>Custos variáveis</t>
        </is>
      </c>
      <c r="E53" s="10" t="inlineStr">
        <is>
          <t>Custos fixos</t>
        </is>
      </c>
      <c r="F53" s="10" t="inlineStr">
        <is>
          <t>Lucro estimado</t>
        </is>
      </c>
      <c r="G53" s="10" t="inlineStr">
        <is>
          <t>Margem</t>
        </is>
      </c>
      <c r="H53" s="10" t="inlineStr">
        <is>
          <t>Observação</t>
        </is>
      </c>
    </row>
    <row r="54">
      <c r="A54" t="n">
        <v>1</v>
      </c>
      <c r="B54" s="9">
        <f>$B$38*(1+$B$39)^0</f>
        <v/>
      </c>
      <c r="C54" s="4">
        <f>B54*$B$37</f>
        <v/>
      </c>
      <c r="D54" s="4">
        <f>B54*$B$32</f>
        <v/>
      </c>
      <c r="E54" s="4">
        <f>$B$20</f>
        <v/>
      </c>
      <c r="F54" s="4">
        <f>C54-D54-E54</f>
        <v/>
      </c>
      <c r="G54" s="8">
        <f>IF(C54=0,0,F54/C54)</f>
        <v/>
      </c>
      <c r="H54" t="inlineStr">
        <is>
          <t>Estimativa</t>
        </is>
      </c>
    </row>
    <row r="55">
      <c r="A55" t="n">
        <v>2</v>
      </c>
      <c r="B55" s="9">
        <f>$B$38*(1+$B$39)^1</f>
        <v/>
      </c>
      <c r="C55" s="4">
        <f>B55*$B$37</f>
        <v/>
      </c>
      <c r="D55" s="4">
        <f>B55*$B$32</f>
        <v/>
      </c>
      <c r="E55" s="4">
        <f>$B$20</f>
        <v/>
      </c>
      <c r="F55" s="4">
        <f>C55-D55-E55</f>
        <v/>
      </c>
      <c r="G55" s="8">
        <f>IF(C55=0,0,F55/C55)</f>
        <v/>
      </c>
      <c r="H55" t="inlineStr">
        <is>
          <t>Estimativa</t>
        </is>
      </c>
    </row>
    <row r="56">
      <c r="A56" t="n">
        <v>3</v>
      </c>
      <c r="B56" s="9">
        <f>$B$38*(1+$B$39)^2</f>
        <v/>
      </c>
      <c r="C56" s="4">
        <f>B56*$B$37</f>
        <v/>
      </c>
      <c r="D56" s="4">
        <f>B56*$B$32</f>
        <v/>
      </c>
      <c r="E56" s="4">
        <f>$B$20</f>
        <v/>
      </c>
      <c r="F56" s="4">
        <f>C56-D56-E56</f>
        <v/>
      </c>
      <c r="G56" s="8">
        <f>IF(C56=0,0,F56/C56)</f>
        <v/>
      </c>
      <c r="H56" t="inlineStr">
        <is>
          <t>Estimativa</t>
        </is>
      </c>
    </row>
    <row r="57">
      <c r="A57" t="n">
        <v>4</v>
      </c>
      <c r="B57" s="9">
        <f>$B$38*(1+$B$39)^3</f>
        <v/>
      </c>
      <c r="C57" s="4">
        <f>B57*$B$37</f>
        <v/>
      </c>
      <c r="D57" s="4">
        <f>B57*$B$32</f>
        <v/>
      </c>
      <c r="E57" s="4">
        <f>$B$20</f>
        <v/>
      </c>
      <c r="F57" s="4">
        <f>C57-D57-E57</f>
        <v/>
      </c>
      <c r="G57" s="8">
        <f>IF(C57=0,0,F57/C57)</f>
        <v/>
      </c>
      <c r="H57" t="inlineStr">
        <is>
          <t>Estimativa</t>
        </is>
      </c>
    </row>
    <row r="58">
      <c r="A58" t="n">
        <v>5</v>
      </c>
      <c r="B58" s="9">
        <f>$B$38*(1+$B$39)^4</f>
        <v/>
      </c>
      <c r="C58" s="4">
        <f>B58*$B$37</f>
        <v/>
      </c>
      <c r="D58" s="4">
        <f>B58*$B$32</f>
        <v/>
      </c>
      <c r="E58" s="4">
        <f>$B$20</f>
        <v/>
      </c>
      <c r="F58" s="4">
        <f>C58-D58-E58</f>
        <v/>
      </c>
      <c r="G58" s="8">
        <f>IF(C58=0,0,F58/C58)</f>
        <v/>
      </c>
      <c r="H58" t="inlineStr">
        <is>
          <t>Estimativa</t>
        </is>
      </c>
    </row>
    <row r="59">
      <c r="A59" t="n">
        <v>6</v>
      </c>
      <c r="B59" s="9">
        <f>$B$38*(1+$B$39)^5</f>
        <v/>
      </c>
      <c r="C59" s="4">
        <f>B59*$B$37</f>
        <v/>
      </c>
      <c r="D59" s="4">
        <f>B59*$B$32</f>
        <v/>
      </c>
      <c r="E59" s="4">
        <f>$B$20</f>
        <v/>
      </c>
      <c r="F59" s="4">
        <f>C59-D59-E59</f>
        <v/>
      </c>
      <c r="G59" s="8">
        <f>IF(C59=0,0,F59/C59)</f>
        <v/>
      </c>
      <c r="H59" t="inlineStr">
        <is>
          <t>Estimativa</t>
        </is>
      </c>
    </row>
    <row r="60">
      <c r="A60" t="n">
        <v>7</v>
      </c>
      <c r="B60" s="9">
        <f>$B$38*(1+$B$39)^6</f>
        <v/>
      </c>
      <c r="C60" s="4">
        <f>B60*$B$37</f>
        <v/>
      </c>
      <c r="D60" s="4">
        <f>B60*$B$32</f>
        <v/>
      </c>
      <c r="E60" s="4">
        <f>$B$20</f>
        <v/>
      </c>
      <c r="F60" s="4">
        <f>C60-D60-E60</f>
        <v/>
      </c>
      <c r="G60" s="8">
        <f>IF(C60=0,0,F60/C60)</f>
        <v/>
      </c>
      <c r="H60" t="inlineStr">
        <is>
          <t>Estimativa</t>
        </is>
      </c>
    </row>
    <row r="61">
      <c r="A61" t="n">
        <v>8</v>
      </c>
      <c r="B61" s="9">
        <f>$B$38*(1+$B$39)^7</f>
        <v/>
      </c>
      <c r="C61" s="4">
        <f>B61*$B$37</f>
        <v/>
      </c>
      <c r="D61" s="4">
        <f>B61*$B$32</f>
        <v/>
      </c>
      <c r="E61" s="4">
        <f>$B$20</f>
        <v/>
      </c>
      <c r="F61" s="4">
        <f>C61-D61-E61</f>
        <v/>
      </c>
      <c r="G61" s="8">
        <f>IF(C61=0,0,F61/C61)</f>
        <v/>
      </c>
      <c r="H61" t="inlineStr">
        <is>
          <t>Estimativa</t>
        </is>
      </c>
    </row>
    <row r="62">
      <c r="A62" t="n">
        <v>9</v>
      </c>
      <c r="B62" s="9">
        <f>$B$38*(1+$B$39)^8</f>
        <v/>
      </c>
      <c r="C62" s="4">
        <f>B62*$B$37</f>
        <v/>
      </c>
      <c r="D62" s="4">
        <f>B62*$B$32</f>
        <v/>
      </c>
      <c r="E62" s="4">
        <f>$B$20</f>
        <v/>
      </c>
      <c r="F62" s="4">
        <f>C62-D62-E62</f>
        <v/>
      </c>
      <c r="G62" s="8">
        <f>IF(C62=0,0,F62/C62)</f>
        <v/>
      </c>
      <c r="H62" t="inlineStr">
        <is>
          <t>Estimativa</t>
        </is>
      </c>
    </row>
    <row r="63">
      <c r="A63" t="n">
        <v>10</v>
      </c>
      <c r="B63" s="9">
        <f>$B$38*(1+$B$39)^9</f>
        <v/>
      </c>
      <c r="C63" s="4">
        <f>B63*$B$37</f>
        <v/>
      </c>
      <c r="D63" s="4">
        <f>B63*$B$32</f>
        <v/>
      </c>
      <c r="E63" s="4">
        <f>$B$20</f>
        <v/>
      </c>
      <c r="F63" s="4">
        <f>C63-D63-E63</f>
        <v/>
      </c>
      <c r="G63" s="8">
        <f>IF(C63=0,0,F63/C63)</f>
        <v/>
      </c>
      <c r="H63" t="inlineStr">
        <is>
          <t>Estimativa</t>
        </is>
      </c>
    </row>
    <row r="64">
      <c r="A64" t="n">
        <v>11</v>
      </c>
      <c r="B64" s="9">
        <f>$B$38*(1+$B$39)^10</f>
        <v/>
      </c>
      <c r="C64" s="4">
        <f>B64*$B$37</f>
        <v/>
      </c>
      <c r="D64" s="4">
        <f>B64*$B$32</f>
        <v/>
      </c>
      <c r="E64" s="4">
        <f>$B$20</f>
        <v/>
      </c>
      <c r="F64" s="4">
        <f>C64-D64-E64</f>
        <v/>
      </c>
      <c r="G64" s="8">
        <f>IF(C64=0,0,F64/C64)</f>
        <v/>
      </c>
      <c r="H64" t="inlineStr">
        <is>
          <t>Estimativa</t>
        </is>
      </c>
    </row>
    <row r="65">
      <c r="A65" t="n">
        <v>12</v>
      </c>
      <c r="B65" s="9">
        <f>$B$38*(1+$B$39)^11</f>
        <v/>
      </c>
      <c r="C65" s="4">
        <f>B65*$B$37</f>
        <v/>
      </c>
      <c r="D65" s="4">
        <f>B65*$B$32</f>
        <v/>
      </c>
      <c r="E65" s="4">
        <f>$B$20</f>
        <v/>
      </c>
      <c r="F65" s="4">
        <f>C65-D65-E65</f>
        <v/>
      </c>
      <c r="G65" s="8">
        <f>IF(C65=0,0,F65/C65)</f>
        <v/>
      </c>
      <c r="H65" t="inlineStr">
        <is>
          <t>Estimativa</t>
        </is>
      </c>
    </row>
  </sheetData>
  <mergeCells count="7">
    <mergeCell ref="A42:C42"/>
    <mergeCell ref="A23:C23"/>
    <mergeCell ref="A2:H2"/>
    <mergeCell ref="A52:H52"/>
    <mergeCell ref="A1:H1"/>
    <mergeCell ref="A35:C35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  <col width="20" customWidth="1" min="3" max="3"/>
    <col width="20" customWidth="1" min="4" max="4"/>
  </cols>
  <sheetData>
    <row r="1">
      <c r="A1" s="1" t="inlineStr">
        <is>
          <t>COMO USAR</t>
        </is>
      </c>
    </row>
    <row r="3">
      <c r="A3" s="11" t="inlineStr">
        <is>
          <t>Custos fixos</t>
        </is>
      </c>
      <c r="B3" s="12" t="inlineStr">
        <is>
          <t>Despesas que continuam existindo mesmo quando você não vende, como aluguel, pessoal, contabilidade e sistemas.</t>
        </is>
      </c>
    </row>
    <row r="4">
      <c r="A4" s="11" t="inlineStr">
        <is>
          <t>Custos variáveis</t>
        </is>
      </c>
      <c r="B4" s="12" t="inlineStr">
        <is>
          <t>Despesas relacionadas a cada venda, como produto, embalagem, comissão, cartão, frete e impostos.</t>
        </is>
      </c>
    </row>
    <row r="5">
      <c r="A5" s="11" t="inlineStr">
        <is>
          <t>Receita</t>
        </is>
      </c>
      <c r="B5" s="12" t="inlineStr">
        <is>
          <t>Ticket médio multiplicado pela quantidade estimada de vendas.</t>
        </is>
      </c>
    </row>
    <row r="6">
      <c r="A6" s="11" t="inlineStr">
        <is>
          <t>Lucro operacional</t>
        </is>
      </c>
      <c r="B6" s="12" t="inlineStr">
        <is>
          <t>Receita menos custos variáveis e custos fixos. É uma estimativa, não garantia.</t>
        </is>
      </c>
    </row>
    <row r="7">
      <c r="A7" s="11" t="inlineStr">
        <is>
          <t>Ponto de equilíbrio</t>
        </is>
      </c>
      <c r="B7" s="12" t="inlineStr">
        <is>
          <t>Volume aproximado de vendas necessário para cobrir os custos considerados.</t>
        </is>
      </c>
    </row>
    <row r="8">
      <c r="A8" s="11" t="inlineStr">
        <is>
          <t>Projeção</t>
        </is>
      </c>
      <c r="B8" s="12" t="inlineStr">
        <is>
          <t>Use como cenário. Substitua as hipóteses por dados reais conforme o negócio começa a operar.</t>
        </is>
      </c>
    </row>
  </sheetData>
  <mergeCells count="7">
    <mergeCell ref="A1:D1"/>
    <mergeCell ref="B3:D3"/>
    <mergeCell ref="B5:D5"/>
    <mergeCell ref="B8:D8"/>
    <mergeCell ref="B4:D4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2026-09-27T17:16:55Z</dcterms:created>
  <dcterms:modified xmlns:dcterms="http://purl.org/dc/terms/" xmlns:xsi="http://www.w3.org/2001/XMLSchema-instance" xsi:type="dcterms:W3CDTF">2026-09-27T17:16:55Z</dcterms:modified>
</cp:coreProperties>
</file>